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repo\aop\"/>
    </mc:Choice>
  </mc:AlternateContent>
  <xr:revisionPtr revIDLastSave="0" documentId="13_ncr:1_{BCC84398-BBE7-4646-8125-9D8AA50A7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set 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2" l="1"/>
  <c r="R9" i="2"/>
</calcChain>
</file>

<file path=xl/sharedStrings.xml><?xml version="1.0" encoding="utf-8"?>
<sst xmlns="http://schemas.openxmlformats.org/spreadsheetml/2006/main" count="19" uniqueCount="19">
  <si>
    <t>API</t>
  </si>
  <si>
    <t>N2 (mol%)</t>
  </si>
  <si>
    <t>Co2</t>
  </si>
  <si>
    <t>H2S</t>
  </si>
  <si>
    <t>C1</t>
  </si>
  <si>
    <t>C2</t>
  </si>
  <si>
    <t>C3</t>
  </si>
  <si>
    <t>C4</t>
  </si>
  <si>
    <t>C5</t>
  </si>
  <si>
    <t>C6</t>
  </si>
  <si>
    <t>C7+</t>
  </si>
  <si>
    <t>Saturates</t>
  </si>
  <si>
    <t>Aromatics</t>
  </si>
  <si>
    <t>Resins</t>
  </si>
  <si>
    <t>Asphaltene</t>
  </si>
  <si>
    <t>Saturation pressure (psia)</t>
  </si>
  <si>
    <t>AOP</t>
  </si>
  <si>
    <t>ref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</si>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</sst>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4472C4"/>
        <bgColor rgb="FFFFFFFF"/>
      </patternFill>
    </fill>
    <fill>
      <patternFill patternType="solid">
        <fgColor rgb="FF9BC2E6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 applyAlignment="1">
      <alignment horizontal="center"/>
    </xf>
    <xf numFmtId="2" fontId="2" fillId="3" borderId="0" xfId="2" applyNumberFormat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2" xfId="2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1" fillId="2" borderId="1" xfId="1" applyNumberFormat="1" applyBorder="1" applyAlignment="1">
      <alignment horizontal="center"/>
    </xf>
  </cellXfs>
  <cellStyles count="3">
    <cellStyle name="60% - Accent1" xfId="1" builtinId="32"/>
    <cellStyle name="Accent5" xfId="2" builtinId="45"/>
    <cellStyle name="Normal" xfId="0" builtinId="0"/>
  </cellStyles>
  <dxfs count="20"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3F3B2-048F-4602-9BEE-1578AC265B4F}" name="Table1" displayName="Table1" ref="B1:S25" totalsRowShown="0" headerRowDxfId="19" dataDxfId="18" headerRowCellStyle="Accent5" dataCellStyle="60% - Accent1">
  <autoFilter ref="B1:S25" xr:uid="{4113F3B2-048F-4602-9BEE-1578AC265B4F}"/>
  <tableColumns count="18">
    <tableColumn id="2" xr3:uid="{1EB17C0A-6869-4115-B590-35F6D6D64061}" name="N2 (mol%)" dataDxfId="17" dataCellStyle="60% - Accent1"/>
    <tableColumn id="3" xr3:uid="{04EAFCBE-01CA-46C4-97F1-68B2E5320AAA}" name="Co2" dataDxfId="16" dataCellStyle="60% - Accent1"/>
    <tableColumn id="4" xr3:uid="{5CF12B17-699C-4371-8C25-BC7DF4AB034D}" name="H2S" dataDxfId="15" dataCellStyle="60% - Accent1"/>
    <tableColumn id="5" xr3:uid="{B3F03B50-979F-478B-A610-1294E95D0538}" name="C1" dataDxfId="14" dataCellStyle="60% - Accent1"/>
    <tableColumn id="6" xr3:uid="{2B07C965-1748-47DC-9BAE-55E90B6166A5}" name="C2" dataDxfId="13" dataCellStyle="60% - Accent1"/>
    <tableColumn id="7" xr3:uid="{1A7BC7A5-B6BE-498C-B183-C96EBBD7AD13}" name="C3" dataDxfId="12" dataCellStyle="60% - Accent1"/>
    <tableColumn id="8" xr3:uid="{D27F9A4F-3B19-47CD-9278-32E2562C8237}" name="C4" dataDxfId="11" dataCellStyle="60% - Accent1"/>
    <tableColumn id="9" xr3:uid="{B0849671-7048-4E51-AFE5-CF9653170215}" name="C5" dataDxfId="10" dataCellStyle="60% - Accent1"/>
    <tableColumn id="10" xr3:uid="{81D6FDE0-4392-4BD7-86C6-BE98B90FB35F}" name="C6" dataDxfId="9" dataCellStyle="60% - Accent1"/>
    <tableColumn id="11" xr3:uid="{DA911707-B7D9-4DC3-92B6-97FA8BE5A7C3}" name="C7+" dataDxfId="8" dataCellStyle="60% - Accent1"/>
    <tableColumn id="12" xr3:uid="{5CEC9FE5-89BC-4697-ABFD-3F939C3D2960}" name="API" dataDxfId="7" dataCellStyle="60% - Accent1"/>
    <tableColumn id="13" xr3:uid="{719E4B86-6B68-4DCC-9F63-6286D8757A81}" name="Saturates" dataDxfId="6" dataCellStyle="60% - Accent1"/>
    <tableColumn id="14" xr3:uid="{C7894F5D-45A7-4EAB-B600-17192A7C7EA6}" name="Aromatics" dataDxfId="5" dataCellStyle="60% - Accent1"/>
    <tableColumn id="15" xr3:uid="{B7D69095-411C-41F2-B565-4F19E3B6BEF9}" name="Resins" dataDxfId="4" dataCellStyle="60% - Accent1"/>
    <tableColumn id="16" xr3:uid="{CA1D2CD7-8296-47F3-AC73-F5002EEFF789}" name="Asphaltene" dataDxfId="3" dataCellStyle="60% - Accent1"/>
    <tableColumn id="17" xr3:uid="{D8669352-8FF0-4A14-9463-330EFF7722D3}" name="T" dataDxfId="2" dataCellStyle="60% - Accent1"/>
    <tableColumn id="18" xr3:uid="{CAFFF6F5-D41F-454C-938A-77F7B2FB86D3}" name="Saturation pressure (psia)" dataDxfId="1" dataCellStyle="60% - Accent1"/>
    <tableColumn id="19" xr3:uid="{5D2063B0-0667-4C2E-9586-A1FE4F4629F7}" name="AOP" dataDxfId="0" dataCellStyle="60% - Accen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E008-352D-4983-A325-9D1ADBCE4DF6}">
  <dimension ref="A1:S26"/>
  <sheetViews>
    <sheetView tabSelected="1" workbookViewId="0">
      <selection activeCell="A33" sqref="A26:XFD33"/>
    </sheetView>
  </sheetViews>
  <sheetFormatPr defaultRowHeight="14.4" x14ac:dyDescent="0.3"/>
  <cols>
    <col min="1" max="1" width="8.88671875" style="4"/>
    <col min="2" max="2" width="11.21875" style="1" customWidth="1"/>
    <col min="3" max="12" width="8.88671875" style="1"/>
    <col min="13" max="13" width="10.5546875" style="1" customWidth="1"/>
    <col min="14" max="14" width="11.109375" style="1" customWidth="1"/>
    <col min="15" max="15" width="8.88671875" style="1"/>
    <col min="16" max="16" width="11.88671875" style="1" customWidth="1"/>
    <col min="17" max="17" width="8.88671875" style="1"/>
    <col min="18" max="18" width="23.33203125" style="1" customWidth="1"/>
    <col min="19" max="16384" width="8.88671875" style="1"/>
  </cols>
  <sheetData>
    <row r="1" spans="1:19" x14ac:dyDescent="0.3">
      <c r="A1" s="5" t="s">
        <v>17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18</v>
      </c>
      <c r="R1" s="2" t="s">
        <v>15</v>
      </c>
      <c r="S1" s="2" t="s">
        <v>16</v>
      </c>
    </row>
    <row r="2" spans="1:19" x14ac:dyDescent="0.3">
      <c r="A2" s="3">
        <v>1</v>
      </c>
      <c r="B2" s="7">
        <v>0.48</v>
      </c>
      <c r="C2" s="7">
        <v>0.92</v>
      </c>
      <c r="D2" s="7">
        <v>0</v>
      </c>
      <c r="E2" s="7">
        <v>43.43</v>
      </c>
      <c r="F2" s="7">
        <v>11.02</v>
      </c>
      <c r="G2" s="7">
        <v>6.55</v>
      </c>
      <c r="H2" s="7">
        <v>4.49</v>
      </c>
      <c r="I2" s="7">
        <v>3.53</v>
      </c>
      <c r="J2" s="7">
        <v>2.7</v>
      </c>
      <c r="K2" s="7">
        <v>26.88</v>
      </c>
      <c r="L2" s="7">
        <v>39</v>
      </c>
      <c r="M2" s="7">
        <v>68.3</v>
      </c>
      <c r="N2" s="7">
        <v>11.6</v>
      </c>
      <c r="O2" s="7">
        <v>18.8</v>
      </c>
      <c r="P2" s="7">
        <v>1.3</v>
      </c>
      <c r="Q2" s="7">
        <v>210</v>
      </c>
      <c r="R2" s="7">
        <v>3223</v>
      </c>
      <c r="S2" s="7">
        <v>6858.1</v>
      </c>
    </row>
    <row r="3" spans="1:19" x14ac:dyDescent="0.3">
      <c r="A3" s="3">
        <v>1</v>
      </c>
      <c r="B3" s="7">
        <v>0.48</v>
      </c>
      <c r="C3" s="7">
        <v>0.92</v>
      </c>
      <c r="D3" s="7">
        <v>0</v>
      </c>
      <c r="E3" s="7">
        <v>43.43</v>
      </c>
      <c r="F3" s="7">
        <v>11.02</v>
      </c>
      <c r="G3" s="7">
        <v>6.55</v>
      </c>
      <c r="H3" s="7">
        <v>4.49</v>
      </c>
      <c r="I3" s="7">
        <v>3.53</v>
      </c>
      <c r="J3" s="7">
        <v>2.7</v>
      </c>
      <c r="K3" s="7">
        <v>26.88</v>
      </c>
      <c r="L3" s="7">
        <v>39</v>
      </c>
      <c r="M3" s="7">
        <v>68.3</v>
      </c>
      <c r="N3" s="7">
        <v>11.6</v>
      </c>
      <c r="O3" s="7">
        <v>18.8</v>
      </c>
      <c r="P3" s="7">
        <v>1.3</v>
      </c>
      <c r="Q3" s="7">
        <v>220</v>
      </c>
      <c r="R3" s="7">
        <v>3250</v>
      </c>
      <c r="S3" s="7">
        <v>6591</v>
      </c>
    </row>
    <row r="4" spans="1:19" x14ac:dyDescent="0.3">
      <c r="A4" s="3">
        <v>1</v>
      </c>
      <c r="B4" s="7">
        <v>0.48</v>
      </c>
      <c r="C4" s="7">
        <v>0.92</v>
      </c>
      <c r="D4" s="7">
        <v>0</v>
      </c>
      <c r="E4" s="7">
        <v>43.43</v>
      </c>
      <c r="F4" s="7">
        <v>11.02</v>
      </c>
      <c r="G4" s="7">
        <v>6.55</v>
      </c>
      <c r="H4" s="7">
        <v>4.49</v>
      </c>
      <c r="I4" s="7">
        <v>3.53</v>
      </c>
      <c r="J4" s="7">
        <v>2.7</v>
      </c>
      <c r="K4" s="7">
        <v>26.88</v>
      </c>
      <c r="L4" s="7">
        <v>39</v>
      </c>
      <c r="M4" s="7">
        <v>68.3</v>
      </c>
      <c r="N4" s="7">
        <v>11.6</v>
      </c>
      <c r="O4" s="7">
        <v>18.8</v>
      </c>
      <c r="P4" s="7">
        <v>1.3</v>
      </c>
      <c r="Q4" s="7">
        <v>230</v>
      </c>
      <c r="R4" s="7">
        <v>3278.1</v>
      </c>
      <c r="S4" s="7">
        <v>6422.7</v>
      </c>
    </row>
    <row r="5" spans="1:19" x14ac:dyDescent="0.3">
      <c r="A5" s="3">
        <v>1</v>
      </c>
      <c r="B5" s="7">
        <v>0.48</v>
      </c>
      <c r="C5" s="7">
        <v>0.92</v>
      </c>
      <c r="D5" s="7">
        <v>0</v>
      </c>
      <c r="E5" s="7">
        <v>43.43</v>
      </c>
      <c r="F5" s="7">
        <v>11.02</v>
      </c>
      <c r="G5" s="7">
        <v>6.55</v>
      </c>
      <c r="H5" s="7">
        <v>4.49</v>
      </c>
      <c r="I5" s="7">
        <v>3.53</v>
      </c>
      <c r="J5" s="7">
        <v>2.7</v>
      </c>
      <c r="K5" s="7">
        <v>26.88</v>
      </c>
      <c r="L5" s="7">
        <v>39</v>
      </c>
      <c r="M5" s="7">
        <v>68.3</v>
      </c>
      <c r="N5" s="7">
        <v>11.6</v>
      </c>
      <c r="O5" s="7">
        <v>18.8</v>
      </c>
      <c r="P5" s="7">
        <v>1.3</v>
      </c>
      <c r="Q5" s="7">
        <v>240</v>
      </c>
      <c r="R5" s="7">
        <v>3291.1</v>
      </c>
      <c r="S5" s="7">
        <v>6228.3</v>
      </c>
    </row>
    <row r="6" spans="1:19" x14ac:dyDescent="0.3">
      <c r="A6" s="3">
        <v>1</v>
      </c>
      <c r="B6" s="7">
        <v>0.48</v>
      </c>
      <c r="C6" s="7">
        <v>0.92</v>
      </c>
      <c r="D6" s="7">
        <v>0</v>
      </c>
      <c r="E6" s="7">
        <v>43.43</v>
      </c>
      <c r="F6" s="7">
        <v>11.02</v>
      </c>
      <c r="G6" s="7">
        <v>6.55</v>
      </c>
      <c r="H6" s="7">
        <v>4.49</v>
      </c>
      <c r="I6" s="7">
        <v>3.53</v>
      </c>
      <c r="J6" s="7">
        <v>2.7</v>
      </c>
      <c r="K6" s="7">
        <v>26.88</v>
      </c>
      <c r="L6" s="7">
        <v>39</v>
      </c>
      <c r="M6" s="7">
        <v>68.3</v>
      </c>
      <c r="N6" s="7">
        <v>11.6</v>
      </c>
      <c r="O6" s="7">
        <v>18.8</v>
      </c>
      <c r="P6" s="7">
        <v>1.3</v>
      </c>
      <c r="Q6" s="7">
        <v>167</v>
      </c>
      <c r="R6" s="7">
        <v>3153.1203999999998</v>
      </c>
      <c r="S6" s="7">
        <v>8623.9439000000002</v>
      </c>
    </row>
    <row r="7" spans="1:19" x14ac:dyDescent="0.3">
      <c r="A7" s="3">
        <v>1</v>
      </c>
      <c r="B7" s="7">
        <v>0.48</v>
      </c>
      <c r="C7" s="7">
        <v>0.92</v>
      </c>
      <c r="D7" s="7">
        <v>0</v>
      </c>
      <c r="E7" s="7">
        <v>43.43</v>
      </c>
      <c r="F7" s="7">
        <v>11.02</v>
      </c>
      <c r="G7" s="7">
        <v>6.55</v>
      </c>
      <c r="H7" s="7">
        <v>4.49</v>
      </c>
      <c r="I7" s="7">
        <v>3.53</v>
      </c>
      <c r="J7" s="7">
        <v>2.7</v>
      </c>
      <c r="K7" s="7">
        <v>26.88</v>
      </c>
      <c r="L7" s="7">
        <v>39</v>
      </c>
      <c r="M7" s="7">
        <v>68.3</v>
      </c>
      <c r="N7" s="7">
        <v>11.6</v>
      </c>
      <c r="O7" s="7">
        <v>18.8</v>
      </c>
      <c r="P7" s="7">
        <v>1.3</v>
      </c>
      <c r="Q7" s="7">
        <v>200</v>
      </c>
      <c r="R7" s="7">
        <v>3214.04</v>
      </c>
      <c r="S7" s="7">
        <v>7268</v>
      </c>
    </row>
    <row r="8" spans="1:19" x14ac:dyDescent="0.3">
      <c r="A8" s="3">
        <v>1</v>
      </c>
      <c r="B8" s="7">
        <v>0.48</v>
      </c>
      <c r="C8" s="7">
        <v>0.92</v>
      </c>
      <c r="D8" s="7">
        <v>0</v>
      </c>
      <c r="E8" s="7">
        <v>43.43</v>
      </c>
      <c r="F8" s="7">
        <v>11.02</v>
      </c>
      <c r="G8" s="7">
        <v>6.55</v>
      </c>
      <c r="H8" s="7">
        <v>4.49</v>
      </c>
      <c r="I8" s="7">
        <v>3.53</v>
      </c>
      <c r="J8" s="7">
        <v>2.7</v>
      </c>
      <c r="K8" s="7">
        <v>26.88</v>
      </c>
      <c r="L8" s="7">
        <v>39</v>
      </c>
      <c r="M8" s="7">
        <v>68.3</v>
      </c>
      <c r="N8" s="7">
        <v>11.6</v>
      </c>
      <c r="O8" s="7">
        <v>18.8</v>
      </c>
      <c r="P8" s="7">
        <v>1.3</v>
      </c>
      <c r="Q8" s="7">
        <v>195</v>
      </c>
      <c r="R8" s="7">
        <v>3205.549</v>
      </c>
      <c r="S8" s="7">
        <v>7446.3875000000007</v>
      </c>
    </row>
    <row r="9" spans="1:19" x14ac:dyDescent="0.3">
      <c r="A9" s="3">
        <v>17</v>
      </c>
      <c r="B9" s="7">
        <v>0.49</v>
      </c>
      <c r="C9" s="7">
        <v>11.37</v>
      </c>
      <c r="D9" s="7">
        <v>3.22</v>
      </c>
      <c r="E9" s="7">
        <v>27.36</v>
      </c>
      <c r="F9" s="7">
        <v>9.41</v>
      </c>
      <c r="G9" s="7">
        <v>6.7</v>
      </c>
      <c r="H9" s="7">
        <v>3.98</v>
      </c>
      <c r="I9" s="7">
        <v>3.2</v>
      </c>
      <c r="J9" s="7">
        <v>2.4900000000000002</v>
      </c>
      <c r="K9" s="7">
        <v>31.78</v>
      </c>
      <c r="L9" s="7">
        <v>32</v>
      </c>
      <c r="M9" s="7">
        <v>57.4</v>
      </c>
      <c r="N9" s="7">
        <v>30.8</v>
      </c>
      <c r="O9" s="7">
        <v>10.4</v>
      </c>
      <c r="P9" s="7">
        <v>1.4</v>
      </c>
      <c r="Q9" s="7">
        <v>160</v>
      </c>
      <c r="R9" s="7">
        <f t="shared" ref="R9" si="0">-0.0076*Q9^2 + 8.9107*Q9 + 1074.6</f>
        <v>2305.752</v>
      </c>
      <c r="S9" s="7">
        <f t="shared" ref="S9" si="1" xml:space="preserve"> 0.2674*Q9^2 - 145.47*Q9 + 23383</f>
        <v>6953.239999999998</v>
      </c>
    </row>
    <row r="10" spans="1:19" x14ac:dyDescent="0.3">
      <c r="A10" s="3">
        <v>18</v>
      </c>
      <c r="B10" s="7">
        <v>0.4</v>
      </c>
      <c r="C10" s="7">
        <v>0.72</v>
      </c>
      <c r="D10" s="7">
        <v>0</v>
      </c>
      <c r="E10" s="7">
        <v>44.57</v>
      </c>
      <c r="F10" s="7">
        <v>8.6300000000000008</v>
      </c>
      <c r="G10" s="7">
        <v>4.3899999999999997</v>
      </c>
      <c r="H10" s="7">
        <v>3.08</v>
      </c>
      <c r="I10" s="7">
        <v>2.98</v>
      </c>
      <c r="J10" s="7">
        <v>3</v>
      </c>
      <c r="K10" s="7">
        <v>32.229999999999997</v>
      </c>
      <c r="L10" s="7">
        <v>37.94</v>
      </c>
      <c r="M10" s="7">
        <v>54.19</v>
      </c>
      <c r="N10" s="7">
        <v>37.96</v>
      </c>
      <c r="O10" s="7">
        <v>6.48</v>
      </c>
      <c r="P10" s="7">
        <v>1.37</v>
      </c>
      <c r="Q10" s="7">
        <v>240</v>
      </c>
      <c r="R10" s="7">
        <v>3150</v>
      </c>
      <c r="S10" s="7">
        <v>4500</v>
      </c>
    </row>
    <row r="11" spans="1:19" x14ac:dyDescent="0.3">
      <c r="A11" s="3">
        <v>18</v>
      </c>
      <c r="B11" s="7">
        <v>0.4</v>
      </c>
      <c r="C11" s="7">
        <v>0.72</v>
      </c>
      <c r="D11" s="7">
        <v>0</v>
      </c>
      <c r="E11" s="7">
        <v>44.57</v>
      </c>
      <c r="F11" s="7">
        <v>8.6300000000000008</v>
      </c>
      <c r="G11" s="7">
        <v>4.3899999999999997</v>
      </c>
      <c r="H11" s="7">
        <v>3.08</v>
      </c>
      <c r="I11" s="7">
        <v>2.98</v>
      </c>
      <c r="J11" s="7">
        <v>3</v>
      </c>
      <c r="K11" s="7">
        <v>32.229999999999997</v>
      </c>
      <c r="L11" s="7">
        <v>37.94</v>
      </c>
      <c r="M11" s="7">
        <v>54.19</v>
      </c>
      <c r="N11" s="7">
        <v>37.96</v>
      </c>
      <c r="O11" s="7">
        <v>6.48</v>
      </c>
      <c r="P11" s="7">
        <v>1.37</v>
      </c>
      <c r="Q11" s="7">
        <v>180</v>
      </c>
      <c r="R11" s="7">
        <v>2901</v>
      </c>
      <c r="S11" s="7">
        <v>4900</v>
      </c>
    </row>
    <row r="12" spans="1:19" x14ac:dyDescent="0.3">
      <c r="A12" s="3">
        <v>18</v>
      </c>
      <c r="B12" s="7">
        <v>0.4</v>
      </c>
      <c r="C12" s="7">
        <v>0.72</v>
      </c>
      <c r="D12" s="7">
        <v>0</v>
      </c>
      <c r="E12" s="7">
        <v>44.57</v>
      </c>
      <c r="F12" s="7">
        <v>8.6300000000000008</v>
      </c>
      <c r="G12" s="7">
        <v>4.3899999999999997</v>
      </c>
      <c r="H12" s="7">
        <v>3.08</v>
      </c>
      <c r="I12" s="7">
        <v>2.98</v>
      </c>
      <c r="J12" s="7">
        <v>3</v>
      </c>
      <c r="K12" s="7">
        <v>32.229999999999997</v>
      </c>
      <c r="L12" s="7">
        <v>37.94</v>
      </c>
      <c r="M12" s="7">
        <v>54.19</v>
      </c>
      <c r="N12" s="7">
        <v>37.96</v>
      </c>
      <c r="O12" s="7">
        <v>6.48</v>
      </c>
      <c r="P12" s="7">
        <v>1.37</v>
      </c>
      <c r="Q12" s="7">
        <v>110</v>
      </c>
      <c r="R12" s="7">
        <v>2505</v>
      </c>
      <c r="S12" s="7">
        <v>6900</v>
      </c>
    </row>
    <row r="13" spans="1:19" x14ac:dyDescent="0.3">
      <c r="A13" s="3">
        <v>18</v>
      </c>
      <c r="B13" s="7">
        <v>0.4</v>
      </c>
      <c r="C13" s="7">
        <v>0.72</v>
      </c>
      <c r="D13" s="7">
        <v>0</v>
      </c>
      <c r="E13" s="7">
        <v>44.57</v>
      </c>
      <c r="F13" s="7">
        <v>8.6300000000000008</v>
      </c>
      <c r="G13" s="7">
        <v>4.3899999999999997</v>
      </c>
      <c r="H13" s="7">
        <v>3.08</v>
      </c>
      <c r="I13" s="7">
        <v>2.98</v>
      </c>
      <c r="J13" s="7">
        <v>3</v>
      </c>
      <c r="K13" s="7">
        <v>32.229999999999997</v>
      </c>
      <c r="L13" s="7">
        <v>37.94</v>
      </c>
      <c r="M13" s="7">
        <v>54.19</v>
      </c>
      <c r="N13" s="7">
        <v>37.96</v>
      </c>
      <c r="O13" s="7">
        <v>6.48</v>
      </c>
      <c r="P13" s="7">
        <v>1.37</v>
      </c>
      <c r="Q13" s="7">
        <v>220</v>
      </c>
      <c r="R13" s="7">
        <v>3075.9839999999999</v>
      </c>
      <c r="S13" s="7">
        <v>4498.4799999999996</v>
      </c>
    </row>
    <row r="14" spans="1:19" x14ac:dyDescent="0.3">
      <c r="A14" s="3">
        <v>18</v>
      </c>
      <c r="B14" s="7">
        <v>0.4</v>
      </c>
      <c r="C14" s="7">
        <v>0.72</v>
      </c>
      <c r="D14" s="7">
        <v>0</v>
      </c>
      <c r="E14" s="7">
        <v>44.57</v>
      </c>
      <c r="F14" s="7">
        <v>8.6300000000000008</v>
      </c>
      <c r="G14" s="7">
        <v>4.3899999999999997</v>
      </c>
      <c r="H14" s="7">
        <v>3.08</v>
      </c>
      <c r="I14" s="7">
        <v>2.98</v>
      </c>
      <c r="J14" s="7">
        <v>3</v>
      </c>
      <c r="K14" s="7">
        <v>32.229999999999997</v>
      </c>
      <c r="L14" s="7">
        <v>37.94</v>
      </c>
      <c r="M14" s="7">
        <v>54.19</v>
      </c>
      <c r="N14" s="7">
        <v>37.96</v>
      </c>
      <c r="O14" s="7">
        <v>6.48</v>
      </c>
      <c r="P14" s="7">
        <v>1.37</v>
      </c>
      <c r="Q14" s="7">
        <v>210</v>
      </c>
      <c r="R14" s="7">
        <v>3035.672</v>
      </c>
      <c r="S14" s="7">
        <v>4548.28999999999</v>
      </c>
    </row>
    <row r="15" spans="1:19" x14ac:dyDescent="0.3">
      <c r="A15" s="3">
        <v>18</v>
      </c>
      <c r="B15" s="7">
        <v>0.4</v>
      </c>
      <c r="C15" s="7">
        <v>0.72</v>
      </c>
      <c r="D15" s="7">
        <v>0</v>
      </c>
      <c r="E15" s="7">
        <v>44.57</v>
      </c>
      <c r="F15" s="7">
        <v>8.6300000000000008</v>
      </c>
      <c r="G15" s="7">
        <v>4.3899999999999997</v>
      </c>
      <c r="H15" s="7">
        <v>3.08</v>
      </c>
      <c r="I15" s="7">
        <v>2.98</v>
      </c>
      <c r="J15" s="7">
        <v>3</v>
      </c>
      <c r="K15" s="7">
        <v>32.229999999999997</v>
      </c>
      <c r="L15" s="7">
        <v>37.94</v>
      </c>
      <c r="M15" s="7">
        <v>54.19</v>
      </c>
      <c r="N15" s="7">
        <v>37.96</v>
      </c>
      <c r="O15" s="7">
        <v>6.48</v>
      </c>
      <c r="P15" s="7">
        <v>1.37</v>
      </c>
      <c r="Q15" s="7">
        <v>195</v>
      </c>
      <c r="R15" s="7">
        <v>2970.8539999999998</v>
      </c>
      <c r="S15" s="7">
        <v>4686.1924999999901</v>
      </c>
    </row>
    <row r="16" spans="1:19" x14ac:dyDescent="0.3">
      <c r="A16" s="3">
        <v>18</v>
      </c>
      <c r="B16" s="7">
        <v>0.4</v>
      </c>
      <c r="C16" s="7">
        <v>0.72</v>
      </c>
      <c r="D16" s="7">
        <v>0</v>
      </c>
      <c r="E16" s="7">
        <v>44.57</v>
      </c>
      <c r="F16" s="7">
        <v>8.6300000000000008</v>
      </c>
      <c r="G16" s="7">
        <v>4.3899999999999997</v>
      </c>
      <c r="H16" s="7">
        <v>3.08</v>
      </c>
      <c r="I16" s="7">
        <v>2.98</v>
      </c>
      <c r="J16" s="7">
        <v>3</v>
      </c>
      <c r="K16" s="7">
        <v>32.229999999999997</v>
      </c>
      <c r="L16" s="7">
        <v>37.94</v>
      </c>
      <c r="M16" s="7">
        <v>54.19</v>
      </c>
      <c r="N16" s="7">
        <v>37.96</v>
      </c>
      <c r="O16" s="7">
        <v>6.48</v>
      </c>
      <c r="P16" s="7">
        <v>1.37</v>
      </c>
      <c r="Q16" s="7">
        <v>165</v>
      </c>
      <c r="R16" s="7">
        <v>2825.558</v>
      </c>
      <c r="S16" s="7">
        <v>5189.4724999999999</v>
      </c>
    </row>
    <row r="17" spans="1:19" x14ac:dyDescent="0.3">
      <c r="A17" s="3">
        <v>18</v>
      </c>
      <c r="B17" s="7">
        <v>0.4</v>
      </c>
      <c r="C17" s="7">
        <v>0.72</v>
      </c>
      <c r="D17" s="7">
        <v>0</v>
      </c>
      <c r="E17" s="7">
        <v>44.57</v>
      </c>
      <c r="F17" s="7">
        <v>8.6300000000000008</v>
      </c>
      <c r="G17" s="7">
        <v>4.3899999999999997</v>
      </c>
      <c r="H17" s="7">
        <v>3.08</v>
      </c>
      <c r="I17" s="7">
        <v>2.98</v>
      </c>
      <c r="J17" s="7">
        <v>3</v>
      </c>
      <c r="K17" s="7">
        <v>32.229999999999997</v>
      </c>
      <c r="L17" s="7">
        <v>37.94</v>
      </c>
      <c r="M17" s="7">
        <v>54.19</v>
      </c>
      <c r="N17" s="7">
        <v>37.96</v>
      </c>
      <c r="O17" s="7">
        <v>6.48</v>
      </c>
      <c r="P17" s="7">
        <v>1.37</v>
      </c>
      <c r="Q17" s="7">
        <v>145</v>
      </c>
      <c r="R17" s="7">
        <v>2717.0940000000001</v>
      </c>
      <c r="S17" s="7">
        <v>5693.4924999999903</v>
      </c>
    </row>
    <row r="18" spans="1:19" x14ac:dyDescent="0.3">
      <c r="A18" s="3">
        <v>18</v>
      </c>
      <c r="B18" s="7">
        <v>0.4</v>
      </c>
      <c r="C18" s="7">
        <v>0.72</v>
      </c>
      <c r="D18" s="7">
        <v>0</v>
      </c>
      <c r="E18" s="7">
        <v>44.57</v>
      </c>
      <c r="F18" s="7">
        <v>8.6300000000000008</v>
      </c>
      <c r="G18" s="7">
        <v>4.3899999999999997</v>
      </c>
      <c r="H18" s="7">
        <v>3.08</v>
      </c>
      <c r="I18" s="7">
        <v>2.98</v>
      </c>
      <c r="J18" s="7">
        <v>3</v>
      </c>
      <c r="K18" s="7">
        <v>32.229999999999997</v>
      </c>
      <c r="L18" s="7">
        <v>37.94</v>
      </c>
      <c r="M18" s="7">
        <v>54.19</v>
      </c>
      <c r="N18" s="7">
        <v>37.96</v>
      </c>
      <c r="O18" s="7">
        <v>6.48</v>
      </c>
      <c r="P18" s="7">
        <v>1.37</v>
      </c>
      <c r="Q18" s="7">
        <v>130</v>
      </c>
      <c r="R18" s="7">
        <v>2629.6559999999999</v>
      </c>
      <c r="S18" s="7">
        <v>6159.9699999999903</v>
      </c>
    </row>
    <row r="19" spans="1:19" x14ac:dyDescent="0.3">
      <c r="A19" s="3">
        <v>18</v>
      </c>
      <c r="B19" s="7">
        <v>0.4</v>
      </c>
      <c r="C19" s="7">
        <v>0.72</v>
      </c>
      <c r="D19" s="7">
        <v>0</v>
      </c>
      <c r="E19" s="7">
        <v>44.57</v>
      </c>
      <c r="F19" s="7">
        <v>8.6300000000000008</v>
      </c>
      <c r="G19" s="7">
        <v>4.3899999999999997</v>
      </c>
      <c r="H19" s="7">
        <v>3.08</v>
      </c>
      <c r="I19" s="7">
        <v>2.98</v>
      </c>
      <c r="J19" s="7">
        <v>3</v>
      </c>
      <c r="K19" s="7">
        <v>32.229999999999997</v>
      </c>
      <c r="L19" s="7">
        <v>37.94</v>
      </c>
      <c r="M19" s="7">
        <v>54.19</v>
      </c>
      <c r="N19" s="7">
        <v>37.96</v>
      </c>
      <c r="O19" s="7">
        <v>6.48</v>
      </c>
      <c r="P19" s="7">
        <v>1.37</v>
      </c>
      <c r="Q19" s="7">
        <v>120</v>
      </c>
      <c r="R19" s="7">
        <v>2568.4639999999999</v>
      </c>
      <c r="S19" s="7">
        <v>6513.0799999999899</v>
      </c>
    </row>
    <row r="20" spans="1:19" x14ac:dyDescent="0.3">
      <c r="A20" s="3">
        <v>19</v>
      </c>
      <c r="B20" s="7">
        <v>0.88</v>
      </c>
      <c r="C20" s="7">
        <v>0.81</v>
      </c>
      <c r="D20" s="7">
        <v>0</v>
      </c>
      <c r="E20" s="7">
        <v>42.08</v>
      </c>
      <c r="F20" s="7">
        <v>8.5299999999999994</v>
      </c>
      <c r="G20" s="7">
        <v>4.9400000000000004</v>
      </c>
      <c r="H20" s="7">
        <v>3.69</v>
      </c>
      <c r="I20" s="7">
        <v>3.5</v>
      </c>
      <c r="J20" s="7">
        <v>3.41</v>
      </c>
      <c r="K20" s="7">
        <v>32.159999999999997</v>
      </c>
      <c r="L20" s="7">
        <v>36.450000000000003</v>
      </c>
      <c r="M20" s="7">
        <v>49.47</v>
      </c>
      <c r="N20" s="7">
        <v>46.98</v>
      </c>
      <c r="O20" s="7">
        <v>2.82</v>
      </c>
      <c r="P20" s="7">
        <v>0.73000000000001097</v>
      </c>
      <c r="Q20" s="7">
        <v>230</v>
      </c>
      <c r="R20" s="7">
        <v>3175</v>
      </c>
      <c r="S20" s="7">
        <v>4923</v>
      </c>
    </row>
    <row r="21" spans="1:19" x14ac:dyDescent="0.3">
      <c r="A21" s="3">
        <v>19</v>
      </c>
      <c r="B21" s="7">
        <v>0.88</v>
      </c>
      <c r="C21" s="7">
        <v>0.81</v>
      </c>
      <c r="D21" s="7">
        <v>0</v>
      </c>
      <c r="E21" s="7">
        <v>42.08</v>
      </c>
      <c r="F21" s="7">
        <v>8.5299999999999994</v>
      </c>
      <c r="G21" s="7">
        <v>4.9400000000000004</v>
      </c>
      <c r="H21" s="7">
        <v>3.69</v>
      </c>
      <c r="I21" s="7">
        <v>3.5</v>
      </c>
      <c r="J21" s="7">
        <v>3.41</v>
      </c>
      <c r="K21" s="7">
        <v>32.159999999999997</v>
      </c>
      <c r="L21" s="7">
        <v>36.450000000000003</v>
      </c>
      <c r="M21" s="7">
        <v>49.47</v>
      </c>
      <c r="N21" s="7">
        <v>46.98</v>
      </c>
      <c r="O21" s="7">
        <v>2.82</v>
      </c>
      <c r="P21" s="7">
        <v>0.73000000000001097</v>
      </c>
      <c r="Q21" s="7">
        <v>180</v>
      </c>
      <c r="R21" s="7">
        <v>2900</v>
      </c>
      <c r="S21" s="7">
        <v>5515</v>
      </c>
    </row>
    <row r="22" spans="1:19" x14ac:dyDescent="0.3">
      <c r="A22" s="3">
        <v>19</v>
      </c>
      <c r="B22" s="7">
        <v>0.88</v>
      </c>
      <c r="C22" s="7">
        <v>0.81</v>
      </c>
      <c r="D22" s="7">
        <v>0</v>
      </c>
      <c r="E22" s="7">
        <v>42.08</v>
      </c>
      <c r="F22" s="7">
        <v>8.5299999999999994</v>
      </c>
      <c r="G22" s="7">
        <v>4.9400000000000004</v>
      </c>
      <c r="H22" s="7">
        <v>3.69</v>
      </c>
      <c r="I22" s="7">
        <v>3.5</v>
      </c>
      <c r="J22" s="7">
        <v>3.41</v>
      </c>
      <c r="K22" s="7">
        <v>32.159999999999997</v>
      </c>
      <c r="L22" s="7">
        <v>36.450000000000003</v>
      </c>
      <c r="M22" s="7">
        <v>49.47</v>
      </c>
      <c r="N22" s="7">
        <v>46.98</v>
      </c>
      <c r="O22" s="7">
        <v>2.82</v>
      </c>
      <c r="P22" s="7">
        <v>0.73000000000001097</v>
      </c>
      <c r="Q22" s="7">
        <v>110</v>
      </c>
      <c r="R22" s="7">
        <v>2592</v>
      </c>
      <c r="S22" s="7">
        <v>7000</v>
      </c>
    </row>
    <row r="23" spans="1:19" x14ac:dyDescent="0.3">
      <c r="A23" s="3">
        <v>19</v>
      </c>
      <c r="B23" s="7">
        <v>0.88</v>
      </c>
      <c r="C23" s="7">
        <v>0.81</v>
      </c>
      <c r="D23" s="7">
        <v>0</v>
      </c>
      <c r="E23" s="7">
        <v>42.08</v>
      </c>
      <c r="F23" s="7">
        <v>8.5299999999999994</v>
      </c>
      <c r="G23" s="7">
        <v>4.9400000000000004</v>
      </c>
      <c r="H23" s="7">
        <v>3.69</v>
      </c>
      <c r="I23" s="7">
        <v>3.5</v>
      </c>
      <c r="J23" s="7">
        <v>3.41</v>
      </c>
      <c r="K23" s="7">
        <v>32.159999999999997</v>
      </c>
      <c r="L23" s="7">
        <v>36.450000000000003</v>
      </c>
      <c r="M23" s="7">
        <v>49.47</v>
      </c>
      <c r="N23" s="7">
        <v>46.98</v>
      </c>
      <c r="O23" s="7">
        <v>2.82</v>
      </c>
      <c r="P23" s="7">
        <v>0.73000000000001097</v>
      </c>
      <c r="Q23" s="7">
        <v>220</v>
      </c>
      <c r="R23" s="7">
        <v>3117.9539999999902</v>
      </c>
      <c r="S23" s="7">
        <v>5008.8599999999997</v>
      </c>
    </row>
    <row r="24" spans="1:19" x14ac:dyDescent="0.3">
      <c r="A24" s="3">
        <v>19</v>
      </c>
      <c r="B24" s="7">
        <v>0.88</v>
      </c>
      <c r="C24" s="7">
        <v>0.81</v>
      </c>
      <c r="D24" s="7">
        <v>0</v>
      </c>
      <c r="E24" s="7">
        <v>42.08</v>
      </c>
      <c r="F24" s="7">
        <v>8.5299999999999994</v>
      </c>
      <c r="G24" s="7">
        <v>4.9400000000000004</v>
      </c>
      <c r="H24" s="7">
        <v>3.69</v>
      </c>
      <c r="I24" s="7">
        <v>3.5</v>
      </c>
      <c r="J24" s="7">
        <v>3.41</v>
      </c>
      <c r="K24" s="7">
        <v>32.159999999999997</v>
      </c>
      <c r="L24" s="7">
        <v>36.450000000000003</v>
      </c>
      <c r="M24" s="7">
        <v>49.47</v>
      </c>
      <c r="N24" s="7">
        <v>46.98</v>
      </c>
      <c r="O24" s="7">
        <v>2.82</v>
      </c>
      <c r="P24" s="7">
        <v>0.73000000000001097</v>
      </c>
      <c r="Q24" s="7">
        <v>210</v>
      </c>
      <c r="R24" s="7">
        <v>3060.9769999999999</v>
      </c>
      <c r="S24" s="7">
        <v>5111.72</v>
      </c>
    </row>
    <row r="25" spans="1:19" x14ac:dyDescent="0.3">
      <c r="A25" s="3">
        <v>19</v>
      </c>
      <c r="B25" s="7">
        <v>0.88</v>
      </c>
      <c r="C25" s="7">
        <v>0.81</v>
      </c>
      <c r="D25" s="7">
        <v>0</v>
      </c>
      <c r="E25" s="7">
        <v>42.08</v>
      </c>
      <c r="F25" s="7">
        <v>8.5299999999999994</v>
      </c>
      <c r="G25" s="7">
        <v>4.9400000000000004</v>
      </c>
      <c r="H25" s="7">
        <v>3.69</v>
      </c>
      <c r="I25" s="7">
        <v>3.5</v>
      </c>
      <c r="J25" s="7">
        <v>3.41</v>
      </c>
      <c r="K25" s="7">
        <v>32.159999999999997</v>
      </c>
      <c r="L25" s="7">
        <v>36.450000000000003</v>
      </c>
      <c r="M25" s="7">
        <v>49.47</v>
      </c>
      <c r="N25" s="7">
        <v>46.98</v>
      </c>
      <c r="O25" s="7">
        <v>2.82</v>
      </c>
      <c r="P25" s="7">
        <v>0.73000000000001097</v>
      </c>
      <c r="Q25" s="7">
        <v>194</v>
      </c>
      <c r="R25" s="7">
        <v>2973.6410000000001</v>
      </c>
      <c r="S25" s="7">
        <v>5308.7856000000002</v>
      </c>
    </row>
    <row r="26" spans="1:19" x14ac:dyDescent="0.3">
      <c r="A2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onset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Pezhman Nazeri</dc:creator>
  <cp:lastModifiedBy>Pezhman Nazeri</cp:lastModifiedBy>
  <dcterms:created xsi:type="dcterms:W3CDTF">2015-06-05T18:17:20Z</dcterms:created>
  <dcterms:modified xsi:type="dcterms:W3CDTF">2026-05-10T12:24:32Z</dcterms:modified>
</cp:coreProperties>
</file>